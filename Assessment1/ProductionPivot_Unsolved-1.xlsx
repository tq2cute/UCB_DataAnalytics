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q2cu\Documents\DataAnalytics\Modules\Assessment1\"/>
    </mc:Choice>
  </mc:AlternateContent>
  <xr:revisionPtr revIDLastSave="0" documentId="13_ncr:1_{8EC2A535-B04B-450D-A4D8-E4A32181448F}" xr6:coauthVersionLast="45" xr6:coauthVersionMax="45" xr10:uidLastSave="{00000000-0000-0000-0000-000000000000}"/>
  <bookViews>
    <workbookView xWindow="9744" yWindow="180" windowWidth="12132" windowHeight="11856" firstSheet="1" activeTab="1" xr2:uid="{00000000-000D-0000-FFFF-FFFF00000000}"/>
  </bookViews>
  <sheets>
    <sheet name="Product List" sheetId="1" r:id="rId1"/>
    <sheet name="Pivot Table" sheetId="3" r:id="rId2"/>
    <sheet name="Data" sheetId="2" r:id="rId3"/>
  </sheets>
  <calcPr calcId="191029"/>
  <pivotCaches>
    <pivotCache cacheId="4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0" i="2" l="1"/>
  <c r="D16" i="2"/>
  <c r="D2" i="2"/>
  <c r="F2" i="2" s="1"/>
  <c r="D13" i="2"/>
  <c r="F13" i="2" s="1"/>
  <c r="D12" i="2"/>
  <c r="F12" i="2" s="1"/>
  <c r="D22" i="2"/>
  <c r="F22" i="2" s="1"/>
  <c r="D10" i="2"/>
  <c r="F10" i="2" s="1"/>
  <c r="D17" i="2"/>
  <c r="F17" i="2" s="1"/>
  <c r="D3" i="2"/>
  <c r="F3" i="2" s="1"/>
  <c r="D4" i="2"/>
  <c r="D26" i="2"/>
  <c r="F26" i="2" s="1"/>
  <c r="D23" i="2"/>
  <c r="F23" i="2" s="1"/>
  <c r="D27" i="2"/>
  <c r="F27" i="2" s="1"/>
  <c r="D19" i="2"/>
  <c r="F19" i="2" s="1"/>
  <c r="D5" i="2"/>
  <c r="F5" i="2" s="1"/>
  <c r="D11" i="2"/>
  <c r="F11" i="2" s="1"/>
  <c r="D18" i="2"/>
  <c r="F18" i="2" s="1"/>
  <c r="D21" i="2"/>
  <c r="D6" i="2"/>
  <c r="F6" i="2" s="1"/>
  <c r="D8" i="2"/>
  <c r="F8" i="2" s="1"/>
  <c r="D28" i="2"/>
  <c r="F28" i="2" s="1"/>
  <c r="D29" i="2"/>
  <c r="F29" i="2" s="1"/>
  <c r="D9" i="2"/>
  <c r="F9" i="2" s="1"/>
  <c r="D24" i="2"/>
  <c r="F24" i="2" s="1"/>
  <c r="D7" i="2"/>
  <c r="F7" i="2" s="1"/>
  <c r="D25" i="2"/>
  <c r="D14" i="2"/>
  <c r="F14" i="2" s="1"/>
  <c r="D15" i="2"/>
  <c r="F15" i="2" s="1"/>
  <c r="E20" i="2"/>
  <c r="F20" i="2" s="1"/>
  <c r="E16" i="2"/>
  <c r="F16" i="2" s="1"/>
  <c r="E2" i="2"/>
  <c r="E13" i="2"/>
  <c r="E12" i="2"/>
  <c r="E22" i="2"/>
  <c r="E10" i="2"/>
  <c r="E17" i="2"/>
  <c r="E3" i="2"/>
  <c r="E4" i="2"/>
  <c r="F4" i="2" s="1"/>
  <c r="E26" i="2"/>
  <c r="E23" i="2"/>
  <c r="E27" i="2"/>
  <c r="E19" i="2"/>
  <c r="E5" i="2"/>
  <c r="E11" i="2"/>
  <c r="E18" i="2"/>
  <c r="E21" i="2"/>
  <c r="F21" i="2" s="1"/>
  <c r="E6" i="2"/>
  <c r="E8" i="2"/>
  <c r="E28" i="2"/>
  <c r="E29" i="2"/>
  <c r="E9" i="2"/>
  <c r="E24" i="2"/>
  <c r="E7" i="2"/>
  <c r="E25" i="2"/>
  <c r="F25" i="2" s="1"/>
  <c r="E14" i="2"/>
  <c r="E15" i="2"/>
  <c r="A13" i="1" l="1"/>
  <c r="A14" i="1" s="1"/>
  <c r="A15" i="1" s="1"/>
  <c r="A16" i="1" s="1"/>
  <c r="A17" i="1" s="1"/>
  <c r="A18" i="1" s="1"/>
  <c r="A4" i="1"/>
  <c r="A5" i="1"/>
  <c r="A6" i="1"/>
  <c r="A7" i="1"/>
  <c r="A8" i="1"/>
  <c r="A9" i="1"/>
  <c r="A10" i="1"/>
  <c r="A11" i="1"/>
  <c r="A3" i="1"/>
</calcChain>
</file>

<file path=xl/sharedStrings.xml><?xml version="1.0" encoding="utf-8"?>
<sst xmlns="http://schemas.openxmlformats.org/spreadsheetml/2006/main" count="65" uniqueCount="36">
  <si>
    <t>ID</t>
  </si>
  <si>
    <t>Price Per Unit</t>
  </si>
  <si>
    <t>Product Name</t>
  </si>
  <si>
    <t>Priority</t>
  </si>
  <si>
    <t>Blue Ray DVD</t>
  </si>
  <si>
    <t>Standard Edition DVD</t>
  </si>
  <si>
    <t>VHS Tape</t>
  </si>
  <si>
    <t>2 Foot USB Cable</t>
  </si>
  <si>
    <t>5 Foot USB Cable</t>
  </si>
  <si>
    <t>10 Foot USB Cable</t>
  </si>
  <si>
    <t>5 Foot HDMI Cable</t>
  </si>
  <si>
    <t>10 Foot HDMI Cable</t>
  </si>
  <si>
    <t>16GB Flash Drive</t>
  </si>
  <si>
    <t>32GB Flash Drive</t>
  </si>
  <si>
    <t>64GB Flash Drive</t>
  </si>
  <si>
    <t>128GB Flash Drive</t>
  </si>
  <si>
    <t>Wired Mouse</t>
  </si>
  <si>
    <t>Bluetooth Mouse</t>
  </si>
  <si>
    <t>Wired Keyboard</t>
  </si>
  <si>
    <t>Bluetooth Keyboard</t>
  </si>
  <si>
    <t>Wireless Router</t>
  </si>
  <si>
    <t>Price</t>
  </si>
  <si>
    <t>Low</t>
  </si>
  <si>
    <t>Medium</t>
  </si>
  <si>
    <t>High</t>
  </si>
  <si>
    <t>VIP</t>
  </si>
  <si>
    <t>Order Number</t>
  </si>
  <si>
    <t>Product ID</t>
  </si>
  <si>
    <t>Shipping Priority</t>
  </si>
  <si>
    <t>Shipping Price</t>
  </si>
  <si>
    <t>SUM</t>
  </si>
  <si>
    <t>Sum of Shipping Price</t>
  </si>
  <si>
    <t>Sum of Price</t>
  </si>
  <si>
    <t>Row Labels</t>
  </si>
  <si>
    <t>Grand Total</t>
  </si>
  <si>
    <t>Sum of 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</si>
</sst>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44" fontId="0" fillId="0" borderId="0" xfId="1" applyFont="1"/>
    <xf numFmtId="0" fontId="2" fillId="0" borderId="0" xfId="0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0" fillId="0" borderId="0" xfId="0" applyFont="1"/>
    <xf numFmtId="0" fontId="0" fillId="0" borderId="0" xfId="0" applyNumberFormat="1"/>
    <xf numFmtId="4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2">
    <cellStyle name="Currency" xfId="1" builtinId="4"/>
    <cellStyle name="Normal" xfId="0" builtinId="0"/>
  </cellStyles>
  <dxfs count="3"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rongQuyen Nguyen" refreshedDate="44283.127462847224" createdVersion="6" refreshedVersion="6" minRefreshableVersion="3" recordCount="28" xr:uid="{2F99D143-124F-4F34-80BD-AA330ED8F798}">
  <cacheSource type="worksheet">
    <worksheetSource ref="A1:F29" sheet="Data"/>
  </cacheSource>
  <cacheFields count="6">
    <cacheField name="Order Number" numFmtId="0">
      <sharedItems containsSemiMixedTypes="0" containsString="0" containsNumber="1" containsInteger="1" minValue="10029367401" maxValue="10029367406" count="6">
        <n v="10029367401"/>
        <n v="10029367402"/>
        <n v="10029367403"/>
        <n v="10029367404"/>
        <n v="10029367405"/>
        <n v="10029367406"/>
      </sharedItems>
    </cacheField>
    <cacheField name="Product ID" numFmtId="0">
      <sharedItems containsSemiMixedTypes="0" containsString="0" containsNumber="1" containsInteger="1" minValue="100" maxValue="206" count="13">
        <n v="105"/>
        <n v="200"/>
        <n v="106"/>
        <n v="108"/>
        <n v="107"/>
        <n v="100"/>
        <n v="202"/>
        <n v="201"/>
        <n v="101"/>
        <n v="103"/>
        <n v="206"/>
        <n v="102"/>
        <n v="109"/>
      </sharedItems>
    </cacheField>
    <cacheField name="Shipping Priority" numFmtId="0">
      <sharedItems/>
    </cacheField>
    <cacheField name="Price" numFmtId="44">
      <sharedItems containsSemiMixedTypes="0" containsString="0" containsNumber="1" minValue="3.99" maxValue="109.99" count="12">
        <n v="10.95"/>
        <n v="15.99"/>
        <n v="3.99"/>
        <n v="7.95"/>
        <n v="7.75"/>
        <n v="19.96"/>
        <n v="6.76"/>
        <n v="31.99"/>
        <n v="14.96"/>
        <n v="4.42"/>
        <n v="109.99"/>
        <n v="9.99"/>
      </sharedItems>
    </cacheField>
    <cacheField name="Shipping Price" numFmtId="44">
      <sharedItems containsSemiMixedTypes="0" containsString="0" containsNumber="1" minValue="0.5" maxValue="7.25"/>
    </cacheField>
    <cacheField name="SUM" numFmtId="44">
      <sharedItems containsSemiMixedTypes="0" containsString="0" containsNumber="1" minValue="6.74" maxValue="117.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s v="Low"/>
    <x v="0"/>
    <n v="0.5"/>
    <n v="11.45"/>
  </r>
  <r>
    <x v="0"/>
    <x v="1"/>
    <s v="High"/>
    <x v="1"/>
    <n v="5"/>
    <n v="20.990000000000002"/>
  </r>
  <r>
    <x v="0"/>
    <x v="0"/>
    <s v="VIP"/>
    <x v="0"/>
    <n v="7.25"/>
    <n v="18.2"/>
  </r>
  <r>
    <x v="0"/>
    <x v="2"/>
    <s v="Medium"/>
    <x v="2"/>
    <n v="2.75"/>
    <n v="6.74"/>
  </r>
  <r>
    <x v="1"/>
    <x v="3"/>
    <s v="VIP"/>
    <x v="3"/>
    <n v="7.25"/>
    <n v="15.2"/>
  </r>
  <r>
    <x v="1"/>
    <x v="4"/>
    <s v="Medium"/>
    <x v="4"/>
    <n v="2.75"/>
    <n v="10.5"/>
  </r>
  <r>
    <x v="1"/>
    <x v="5"/>
    <s v="High"/>
    <x v="5"/>
    <n v="5"/>
    <n v="24.96"/>
  </r>
  <r>
    <x v="2"/>
    <x v="6"/>
    <s v="High"/>
    <x v="6"/>
    <n v="5"/>
    <n v="11.76"/>
  </r>
  <r>
    <x v="2"/>
    <x v="0"/>
    <s v="VIP"/>
    <x v="0"/>
    <n v="7.25"/>
    <n v="18.2"/>
  </r>
  <r>
    <x v="2"/>
    <x v="2"/>
    <s v="High"/>
    <x v="2"/>
    <n v="5"/>
    <n v="8.99"/>
  </r>
  <r>
    <x v="2"/>
    <x v="2"/>
    <s v="High"/>
    <x v="2"/>
    <n v="5"/>
    <n v="8.99"/>
  </r>
  <r>
    <x v="2"/>
    <x v="7"/>
    <s v="Low"/>
    <x v="7"/>
    <n v="0.5"/>
    <n v="32.489999999999995"/>
  </r>
  <r>
    <x v="2"/>
    <x v="5"/>
    <s v="Medium"/>
    <x v="5"/>
    <n v="2.75"/>
    <n v="22.71"/>
  </r>
  <r>
    <x v="2"/>
    <x v="7"/>
    <s v="Low"/>
    <x v="7"/>
    <n v="0.5"/>
    <n v="32.489999999999995"/>
  </r>
  <r>
    <x v="2"/>
    <x v="8"/>
    <s v="VIP"/>
    <x v="8"/>
    <n v="7.25"/>
    <n v="22.21"/>
  </r>
  <r>
    <x v="3"/>
    <x v="2"/>
    <s v="Medium"/>
    <x v="2"/>
    <n v="2.75"/>
    <n v="6.74"/>
  </r>
  <r>
    <x v="3"/>
    <x v="6"/>
    <s v="Medium"/>
    <x v="6"/>
    <n v="2.75"/>
    <n v="9.51"/>
  </r>
  <r>
    <x v="3"/>
    <x v="0"/>
    <s v="High"/>
    <x v="0"/>
    <n v="5"/>
    <n v="15.95"/>
  </r>
  <r>
    <x v="3"/>
    <x v="1"/>
    <s v="High"/>
    <x v="1"/>
    <n v="5"/>
    <n v="20.990000000000002"/>
  </r>
  <r>
    <x v="4"/>
    <x v="2"/>
    <s v="High"/>
    <x v="2"/>
    <n v="5"/>
    <n v="8.99"/>
  </r>
  <r>
    <x v="5"/>
    <x v="9"/>
    <s v="Medium"/>
    <x v="9"/>
    <n v="2.75"/>
    <n v="7.17"/>
  </r>
  <r>
    <x v="5"/>
    <x v="10"/>
    <s v="High"/>
    <x v="10"/>
    <n v="5"/>
    <n v="114.99"/>
  </r>
  <r>
    <x v="5"/>
    <x v="10"/>
    <s v="VIP"/>
    <x v="10"/>
    <n v="7.25"/>
    <n v="117.24"/>
  </r>
  <r>
    <x v="5"/>
    <x v="9"/>
    <s v="High"/>
    <x v="9"/>
    <n v="5"/>
    <n v="9.42"/>
  </r>
  <r>
    <x v="5"/>
    <x v="5"/>
    <s v="Medium"/>
    <x v="5"/>
    <n v="2.75"/>
    <n v="22.71"/>
  </r>
  <r>
    <x v="5"/>
    <x v="11"/>
    <s v="VIP"/>
    <x v="2"/>
    <n v="7.25"/>
    <n v="11.24"/>
  </r>
  <r>
    <x v="5"/>
    <x v="5"/>
    <s v="Low"/>
    <x v="5"/>
    <n v="0.5"/>
    <n v="20.46"/>
  </r>
  <r>
    <x v="5"/>
    <x v="12"/>
    <s v="VIP"/>
    <x v="11"/>
    <n v="7.25"/>
    <n v="17.2400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C98995-6F67-4A9D-837D-E9CD578392EA}" name="PivotTable1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D39" firstHeaderRow="0" firstDataRow="1" firstDataCol="1"/>
  <pivotFields count="6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14">
        <item x="5"/>
        <item x="8"/>
        <item x="11"/>
        <item x="9"/>
        <item x="0"/>
        <item x="2"/>
        <item x="4"/>
        <item x="3"/>
        <item x="12"/>
        <item x="1"/>
        <item x="7"/>
        <item x="6"/>
        <item x="10"/>
        <item t="default"/>
      </items>
    </pivotField>
    <pivotField showAll="0"/>
    <pivotField dataField="1" numFmtId="44" showAll="0">
      <items count="13">
        <item x="2"/>
        <item x="9"/>
        <item x="6"/>
        <item x="4"/>
        <item x="3"/>
        <item x="11"/>
        <item x="0"/>
        <item x="8"/>
        <item x="1"/>
        <item x="5"/>
        <item x="7"/>
        <item x="10"/>
        <item t="default"/>
      </items>
    </pivotField>
    <pivotField dataField="1" numFmtId="44" showAll="0"/>
    <pivotField dataField="1" numFmtId="44" showAll="0"/>
  </pivotFields>
  <rowFields count="2">
    <field x="1"/>
    <field x="0"/>
  </rowFields>
  <rowItems count="36">
    <i>
      <x/>
    </i>
    <i r="1">
      <x v="1"/>
    </i>
    <i r="1">
      <x v="2"/>
    </i>
    <i r="1">
      <x v="5"/>
    </i>
    <i>
      <x v="1"/>
    </i>
    <i r="1">
      <x v="2"/>
    </i>
    <i>
      <x v="2"/>
    </i>
    <i r="1">
      <x v="5"/>
    </i>
    <i>
      <x v="3"/>
    </i>
    <i r="1">
      <x v="5"/>
    </i>
    <i>
      <x v="4"/>
    </i>
    <i r="1">
      <x/>
    </i>
    <i r="1">
      <x v="2"/>
    </i>
    <i r="1">
      <x v="3"/>
    </i>
    <i>
      <x v="5"/>
    </i>
    <i r="1">
      <x/>
    </i>
    <i r="1">
      <x v="2"/>
    </i>
    <i r="1">
      <x v="3"/>
    </i>
    <i r="1">
      <x v="4"/>
    </i>
    <i>
      <x v="6"/>
    </i>
    <i r="1">
      <x v="1"/>
    </i>
    <i>
      <x v="7"/>
    </i>
    <i r="1">
      <x v="1"/>
    </i>
    <i>
      <x v="8"/>
    </i>
    <i r="1">
      <x v="5"/>
    </i>
    <i>
      <x v="9"/>
    </i>
    <i r="1">
      <x/>
    </i>
    <i r="1">
      <x v="3"/>
    </i>
    <i>
      <x v="10"/>
    </i>
    <i r="1">
      <x v="2"/>
    </i>
    <i>
      <x v="11"/>
    </i>
    <i r="1">
      <x v="2"/>
    </i>
    <i r="1">
      <x v="3"/>
    </i>
    <i>
      <x v="12"/>
    </i>
    <i r="1"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Price" fld="3" baseField="0" baseItem="0"/>
    <dataField name="Sum of Shipping Price" fld="4" baseField="0" baseItem="0"/>
    <dataField name="Sum of SUM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workbookViewId="0">
      <selection activeCell="F5" sqref="F5"/>
    </sheetView>
  </sheetViews>
  <sheetFormatPr defaultRowHeight="14.4" x14ac:dyDescent="0.3"/>
  <cols>
    <col min="2" max="2" width="25.6640625" customWidth="1"/>
    <col min="3" max="3" width="15.33203125" customWidth="1"/>
    <col min="4" max="4" width="10.6640625" customWidth="1"/>
    <col min="5" max="5" width="11.6640625" customWidth="1"/>
  </cols>
  <sheetData>
    <row r="1" spans="1:6" ht="15" thickBot="1" x14ac:dyDescent="0.35">
      <c r="A1" s="2" t="s">
        <v>0</v>
      </c>
      <c r="B1" s="2" t="s">
        <v>2</v>
      </c>
      <c r="C1" s="2" t="s">
        <v>1</v>
      </c>
      <c r="D1" s="5"/>
      <c r="E1" s="2" t="s">
        <v>3</v>
      </c>
      <c r="F1" s="6" t="s">
        <v>21</v>
      </c>
    </row>
    <row r="2" spans="1:6" ht="15" thickTop="1" x14ac:dyDescent="0.3">
      <c r="A2">
        <v>100</v>
      </c>
      <c r="B2" s="3" t="s">
        <v>4</v>
      </c>
      <c r="C2" s="4">
        <v>19.96</v>
      </c>
      <c r="E2" t="s">
        <v>22</v>
      </c>
      <c r="F2" s="4">
        <v>0.5</v>
      </c>
    </row>
    <row r="3" spans="1:6" x14ac:dyDescent="0.3">
      <c r="A3">
        <f>100+ROW()-2</f>
        <v>101</v>
      </c>
      <c r="B3" s="3" t="s">
        <v>5</v>
      </c>
      <c r="C3" s="4">
        <v>14.96</v>
      </c>
      <c r="E3" t="s">
        <v>23</v>
      </c>
      <c r="F3" s="4">
        <v>2.75</v>
      </c>
    </row>
    <row r="4" spans="1:6" x14ac:dyDescent="0.3">
      <c r="A4">
        <f t="shared" ref="A4:A11" si="0">100+ROW()-2</f>
        <v>102</v>
      </c>
      <c r="B4" s="3" t="s">
        <v>6</v>
      </c>
      <c r="C4" s="4">
        <v>3.99</v>
      </c>
      <c r="E4" t="s">
        <v>24</v>
      </c>
      <c r="F4" s="4">
        <v>5</v>
      </c>
    </row>
    <row r="5" spans="1:6" x14ac:dyDescent="0.3">
      <c r="A5">
        <f t="shared" si="0"/>
        <v>103</v>
      </c>
      <c r="B5" s="3" t="s">
        <v>7</v>
      </c>
      <c r="C5" s="4">
        <v>4.42</v>
      </c>
      <c r="E5" t="s">
        <v>25</v>
      </c>
      <c r="F5" s="4">
        <v>7.25</v>
      </c>
    </row>
    <row r="6" spans="1:6" x14ac:dyDescent="0.3">
      <c r="A6">
        <f t="shared" si="0"/>
        <v>104</v>
      </c>
      <c r="B6" s="3" t="s">
        <v>8</v>
      </c>
      <c r="C6" s="4">
        <v>7.99</v>
      </c>
    </row>
    <row r="7" spans="1:6" x14ac:dyDescent="0.3">
      <c r="A7">
        <f t="shared" si="0"/>
        <v>105</v>
      </c>
      <c r="B7" s="3" t="s">
        <v>9</v>
      </c>
      <c r="C7" s="4">
        <v>10.95</v>
      </c>
    </row>
    <row r="8" spans="1:6" x14ac:dyDescent="0.3">
      <c r="A8">
        <f t="shared" si="0"/>
        <v>106</v>
      </c>
      <c r="B8" s="3" t="s">
        <v>10</v>
      </c>
      <c r="C8" s="4">
        <v>3.99</v>
      </c>
    </row>
    <row r="9" spans="1:6" x14ac:dyDescent="0.3">
      <c r="A9">
        <f t="shared" si="0"/>
        <v>107</v>
      </c>
      <c r="B9" s="3" t="s">
        <v>11</v>
      </c>
      <c r="C9" s="4">
        <v>7.75</v>
      </c>
    </row>
    <row r="10" spans="1:6" x14ac:dyDescent="0.3">
      <c r="A10">
        <f t="shared" si="0"/>
        <v>108</v>
      </c>
      <c r="B10" s="3" t="s">
        <v>12</v>
      </c>
      <c r="C10" s="4">
        <v>7.95</v>
      </c>
    </row>
    <row r="11" spans="1:6" x14ac:dyDescent="0.3">
      <c r="A11">
        <f t="shared" si="0"/>
        <v>109</v>
      </c>
      <c r="B11" s="3" t="s">
        <v>13</v>
      </c>
      <c r="C11" s="4">
        <v>9.99</v>
      </c>
    </row>
    <row r="12" spans="1:6" x14ac:dyDescent="0.3">
      <c r="A12">
        <v>200</v>
      </c>
      <c r="B12" s="3" t="s">
        <v>14</v>
      </c>
      <c r="C12" s="4">
        <v>15.99</v>
      </c>
    </row>
    <row r="13" spans="1:6" x14ac:dyDescent="0.3">
      <c r="A13">
        <f>A12+1</f>
        <v>201</v>
      </c>
      <c r="B13" s="3" t="s">
        <v>15</v>
      </c>
      <c r="C13" s="4">
        <v>31.99</v>
      </c>
    </row>
    <row r="14" spans="1:6" x14ac:dyDescent="0.3">
      <c r="A14">
        <f t="shared" ref="A14:A18" si="1">A13+1</f>
        <v>202</v>
      </c>
      <c r="B14" s="3" t="s">
        <v>16</v>
      </c>
      <c r="C14" s="4">
        <v>6.76</v>
      </c>
    </row>
    <row r="15" spans="1:6" x14ac:dyDescent="0.3">
      <c r="A15">
        <f t="shared" si="1"/>
        <v>203</v>
      </c>
      <c r="B15" s="3" t="s">
        <v>17</v>
      </c>
      <c r="C15" s="4">
        <v>19.989999999999998</v>
      </c>
    </row>
    <row r="16" spans="1:6" x14ac:dyDescent="0.3">
      <c r="A16">
        <f t="shared" si="1"/>
        <v>204</v>
      </c>
      <c r="B16" s="3" t="s">
        <v>18</v>
      </c>
      <c r="C16" s="4">
        <v>13.28</v>
      </c>
    </row>
    <row r="17" spans="1:3" x14ac:dyDescent="0.3">
      <c r="A17">
        <f t="shared" si="1"/>
        <v>205</v>
      </c>
      <c r="B17" s="3" t="s">
        <v>19</v>
      </c>
      <c r="C17" s="4">
        <v>21.99</v>
      </c>
    </row>
    <row r="18" spans="1:3" x14ac:dyDescent="0.3">
      <c r="A18">
        <f t="shared" si="1"/>
        <v>206</v>
      </c>
      <c r="B18" s="3" t="s">
        <v>20</v>
      </c>
      <c r="C18" s="4">
        <v>109.99</v>
      </c>
    </row>
    <row r="19" spans="1:3" x14ac:dyDescent="0.3">
      <c r="B19" s="3"/>
    </row>
    <row r="20" spans="1:3" x14ac:dyDescent="0.3">
      <c r="B20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0F966-799F-442F-98C0-5FFB6602B62B}">
  <dimension ref="A3:D39"/>
  <sheetViews>
    <sheetView tabSelected="1" topLeftCell="A16" workbookViewId="0">
      <selection activeCell="C4" sqref="C4"/>
    </sheetView>
  </sheetViews>
  <sheetFormatPr defaultRowHeight="14.4" x14ac:dyDescent="0.3"/>
  <cols>
    <col min="1" max="1" width="16.109375" bestFit="1" customWidth="1"/>
    <col min="2" max="2" width="11.5546875" bestFit="1" customWidth="1"/>
    <col min="3" max="3" width="19.5546875" bestFit="1" customWidth="1"/>
    <col min="4" max="4" width="11.5546875" bestFit="1" customWidth="1"/>
  </cols>
  <sheetData>
    <row r="3" spans="1:4" x14ac:dyDescent="0.3">
      <c r="A3" s="10" t="s">
        <v>33</v>
      </c>
      <c r="B3" t="s">
        <v>32</v>
      </c>
      <c r="C3" t="s">
        <v>31</v>
      </c>
      <c r="D3" t="s">
        <v>35</v>
      </c>
    </row>
    <row r="4" spans="1:4" x14ac:dyDescent="0.3">
      <c r="A4" s="11">
        <v>100</v>
      </c>
      <c r="B4" s="8">
        <v>79.84</v>
      </c>
      <c r="C4" s="8">
        <v>11</v>
      </c>
      <c r="D4" s="8">
        <v>90.84</v>
      </c>
    </row>
    <row r="5" spans="1:4" x14ac:dyDescent="0.3">
      <c r="A5" s="12">
        <v>10029367402</v>
      </c>
      <c r="B5" s="8">
        <v>19.96</v>
      </c>
      <c r="C5" s="8">
        <v>5</v>
      </c>
      <c r="D5" s="8">
        <v>24.96</v>
      </c>
    </row>
    <row r="6" spans="1:4" x14ac:dyDescent="0.3">
      <c r="A6" s="12">
        <v>10029367403</v>
      </c>
      <c r="B6" s="8">
        <v>19.96</v>
      </c>
      <c r="C6" s="8">
        <v>2.75</v>
      </c>
      <c r="D6" s="8">
        <v>22.71</v>
      </c>
    </row>
    <row r="7" spans="1:4" x14ac:dyDescent="0.3">
      <c r="A7" s="12">
        <v>10029367406</v>
      </c>
      <c r="B7" s="8">
        <v>39.92</v>
      </c>
      <c r="C7" s="8">
        <v>3.25</v>
      </c>
      <c r="D7" s="8">
        <v>43.17</v>
      </c>
    </row>
    <row r="8" spans="1:4" x14ac:dyDescent="0.3">
      <c r="A8" s="11">
        <v>101</v>
      </c>
      <c r="B8" s="8">
        <v>14.96</v>
      </c>
      <c r="C8" s="8">
        <v>7.25</v>
      </c>
      <c r="D8" s="8">
        <v>22.21</v>
      </c>
    </row>
    <row r="9" spans="1:4" x14ac:dyDescent="0.3">
      <c r="A9" s="12">
        <v>10029367403</v>
      </c>
      <c r="B9" s="8">
        <v>14.96</v>
      </c>
      <c r="C9" s="8">
        <v>7.25</v>
      </c>
      <c r="D9" s="8">
        <v>22.21</v>
      </c>
    </row>
    <row r="10" spans="1:4" x14ac:dyDescent="0.3">
      <c r="A10" s="11">
        <v>102</v>
      </c>
      <c r="B10" s="8">
        <v>3.99</v>
      </c>
      <c r="C10" s="8">
        <v>7.25</v>
      </c>
      <c r="D10" s="8">
        <v>11.24</v>
      </c>
    </row>
    <row r="11" spans="1:4" x14ac:dyDescent="0.3">
      <c r="A11" s="12">
        <v>10029367406</v>
      </c>
      <c r="B11" s="8">
        <v>3.99</v>
      </c>
      <c r="C11" s="8">
        <v>7.25</v>
      </c>
      <c r="D11" s="8">
        <v>11.24</v>
      </c>
    </row>
    <row r="12" spans="1:4" x14ac:dyDescent="0.3">
      <c r="A12" s="11">
        <v>103</v>
      </c>
      <c r="B12" s="8">
        <v>8.84</v>
      </c>
      <c r="C12" s="8">
        <v>7.75</v>
      </c>
      <c r="D12" s="8">
        <v>16.59</v>
      </c>
    </row>
    <row r="13" spans="1:4" x14ac:dyDescent="0.3">
      <c r="A13" s="12">
        <v>10029367406</v>
      </c>
      <c r="B13" s="8">
        <v>8.84</v>
      </c>
      <c r="C13" s="8">
        <v>7.75</v>
      </c>
      <c r="D13" s="8">
        <v>16.59</v>
      </c>
    </row>
    <row r="14" spans="1:4" x14ac:dyDescent="0.3">
      <c r="A14" s="11">
        <v>105</v>
      </c>
      <c r="B14" s="8">
        <v>43.8</v>
      </c>
      <c r="C14" s="8">
        <v>20</v>
      </c>
      <c r="D14" s="8">
        <v>63.8</v>
      </c>
    </row>
    <row r="15" spans="1:4" x14ac:dyDescent="0.3">
      <c r="A15" s="12">
        <v>10029367401</v>
      </c>
      <c r="B15" s="8">
        <v>21.9</v>
      </c>
      <c r="C15" s="8">
        <v>7.75</v>
      </c>
      <c r="D15" s="8">
        <v>29.65</v>
      </c>
    </row>
    <row r="16" spans="1:4" x14ac:dyDescent="0.3">
      <c r="A16" s="12">
        <v>10029367403</v>
      </c>
      <c r="B16" s="8">
        <v>10.95</v>
      </c>
      <c r="C16" s="8">
        <v>7.25</v>
      </c>
      <c r="D16" s="8">
        <v>18.2</v>
      </c>
    </row>
    <row r="17" spans="1:4" x14ac:dyDescent="0.3">
      <c r="A17" s="12">
        <v>10029367404</v>
      </c>
      <c r="B17" s="8">
        <v>10.95</v>
      </c>
      <c r="C17" s="8">
        <v>5</v>
      </c>
      <c r="D17" s="8">
        <v>15.95</v>
      </c>
    </row>
    <row r="18" spans="1:4" x14ac:dyDescent="0.3">
      <c r="A18" s="11">
        <v>106</v>
      </c>
      <c r="B18" s="8">
        <v>19.950000000000003</v>
      </c>
      <c r="C18" s="8">
        <v>20.5</v>
      </c>
      <c r="D18" s="8">
        <v>40.450000000000003</v>
      </c>
    </row>
    <row r="19" spans="1:4" x14ac:dyDescent="0.3">
      <c r="A19" s="12">
        <v>10029367401</v>
      </c>
      <c r="B19" s="8">
        <v>3.99</v>
      </c>
      <c r="C19" s="8">
        <v>2.75</v>
      </c>
      <c r="D19" s="8">
        <v>6.74</v>
      </c>
    </row>
    <row r="20" spans="1:4" x14ac:dyDescent="0.3">
      <c r="A20" s="12">
        <v>10029367403</v>
      </c>
      <c r="B20" s="8">
        <v>7.98</v>
      </c>
      <c r="C20" s="8">
        <v>10</v>
      </c>
      <c r="D20" s="8">
        <v>17.98</v>
      </c>
    </row>
    <row r="21" spans="1:4" x14ac:dyDescent="0.3">
      <c r="A21" s="12">
        <v>10029367404</v>
      </c>
      <c r="B21" s="8">
        <v>3.99</v>
      </c>
      <c r="C21" s="8">
        <v>2.75</v>
      </c>
      <c r="D21" s="8">
        <v>6.74</v>
      </c>
    </row>
    <row r="22" spans="1:4" x14ac:dyDescent="0.3">
      <c r="A22" s="12">
        <v>10029367405</v>
      </c>
      <c r="B22" s="8">
        <v>3.99</v>
      </c>
      <c r="C22" s="8">
        <v>5</v>
      </c>
      <c r="D22" s="8">
        <v>8.99</v>
      </c>
    </row>
    <row r="23" spans="1:4" x14ac:dyDescent="0.3">
      <c r="A23" s="11">
        <v>107</v>
      </c>
      <c r="B23" s="8">
        <v>7.75</v>
      </c>
      <c r="C23" s="8">
        <v>2.75</v>
      </c>
      <c r="D23" s="8">
        <v>10.5</v>
      </c>
    </row>
    <row r="24" spans="1:4" x14ac:dyDescent="0.3">
      <c r="A24" s="12">
        <v>10029367402</v>
      </c>
      <c r="B24" s="8">
        <v>7.75</v>
      </c>
      <c r="C24" s="8">
        <v>2.75</v>
      </c>
      <c r="D24" s="8">
        <v>10.5</v>
      </c>
    </row>
    <row r="25" spans="1:4" x14ac:dyDescent="0.3">
      <c r="A25" s="11">
        <v>108</v>
      </c>
      <c r="B25" s="8">
        <v>7.95</v>
      </c>
      <c r="C25" s="8">
        <v>7.25</v>
      </c>
      <c r="D25" s="8">
        <v>15.2</v>
      </c>
    </row>
    <row r="26" spans="1:4" x14ac:dyDescent="0.3">
      <c r="A26" s="12">
        <v>10029367402</v>
      </c>
      <c r="B26" s="8">
        <v>7.95</v>
      </c>
      <c r="C26" s="8">
        <v>7.25</v>
      </c>
      <c r="D26" s="8">
        <v>15.2</v>
      </c>
    </row>
    <row r="27" spans="1:4" x14ac:dyDescent="0.3">
      <c r="A27" s="11">
        <v>109</v>
      </c>
      <c r="B27" s="8">
        <v>9.99</v>
      </c>
      <c r="C27" s="8">
        <v>7.25</v>
      </c>
      <c r="D27" s="8">
        <v>17.240000000000002</v>
      </c>
    </row>
    <row r="28" spans="1:4" x14ac:dyDescent="0.3">
      <c r="A28" s="12">
        <v>10029367406</v>
      </c>
      <c r="B28" s="8">
        <v>9.99</v>
      </c>
      <c r="C28" s="8">
        <v>7.25</v>
      </c>
      <c r="D28" s="8">
        <v>17.240000000000002</v>
      </c>
    </row>
    <row r="29" spans="1:4" x14ac:dyDescent="0.3">
      <c r="A29" s="11">
        <v>200</v>
      </c>
      <c r="B29" s="8">
        <v>31.98</v>
      </c>
      <c r="C29" s="8">
        <v>10</v>
      </c>
      <c r="D29" s="8">
        <v>41.980000000000004</v>
      </c>
    </row>
    <row r="30" spans="1:4" x14ac:dyDescent="0.3">
      <c r="A30" s="12">
        <v>10029367401</v>
      </c>
      <c r="B30" s="8">
        <v>15.99</v>
      </c>
      <c r="C30" s="8">
        <v>5</v>
      </c>
      <c r="D30" s="8">
        <v>20.990000000000002</v>
      </c>
    </row>
    <row r="31" spans="1:4" x14ac:dyDescent="0.3">
      <c r="A31" s="12">
        <v>10029367404</v>
      </c>
      <c r="B31" s="8">
        <v>15.99</v>
      </c>
      <c r="C31" s="8">
        <v>5</v>
      </c>
      <c r="D31" s="8">
        <v>20.990000000000002</v>
      </c>
    </row>
    <row r="32" spans="1:4" x14ac:dyDescent="0.3">
      <c r="A32" s="11">
        <v>201</v>
      </c>
      <c r="B32" s="8">
        <v>63.98</v>
      </c>
      <c r="C32" s="8">
        <v>1</v>
      </c>
      <c r="D32" s="8">
        <v>64.97999999999999</v>
      </c>
    </row>
    <row r="33" spans="1:4" x14ac:dyDescent="0.3">
      <c r="A33" s="12">
        <v>10029367403</v>
      </c>
      <c r="B33" s="8">
        <v>63.98</v>
      </c>
      <c r="C33" s="8">
        <v>1</v>
      </c>
      <c r="D33" s="8">
        <v>64.97999999999999</v>
      </c>
    </row>
    <row r="34" spans="1:4" x14ac:dyDescent="0.3">
      <c r="A34" s="11">
        <v>202</v>
      </c>
      <c r="B34" s="8">
        <v>13.52</v>
      </c>
      <c r="C34" s="8">
        <v>7.75</v>
      </c>
      <c r="D34" s="8">
        <v>21.27</v>
      </c>
    </row>
    <row r="35" spans="1:4" x14ac:dyDescent="0.3">
      <c r="A35" s="12">
        <v>10029367403</v>
      </c>
      <c r="B35" s="8">
        <v>6.76</v>
      </c>
      <c r="C35" s="8">
        <v>5</v>
      </c>
      <c r="D35" s="8">
        <v>11.76</v>
      </c>
    </row>
    <row r="36" spans="1:4" x14ac:dyDescent="0.3">
      <c r="A36" s="12">
        <v>10029367404</v>
      </c>
      <c r="B36" s="8">
        <v>6.76</v>
      </c>
      <c r="C36" s="8">
        <v>2.75</v>
      </c>
      <c r="D36" s="8">
        <v>9.51</v>
      </c>
    </row>
    <row r="37" spans="1:4" x14ac:dyDescent="0.3">
      <c r="A37" s="11">
        <v>206</v>
      </c>
      <c r="B37" s="8">
        <v>219.98</v>
      </c>
      <c r="C37" s="8">
        <v>12.25</v>
      </c>
      <c r="D37" s="8">
        <v>232.23</v>
      </c>
    </row>
    <row r="38" spans="1:4" x14ac:dyDescent="0.3">
      <c r="A38" s="12">
        <v>10029367406</v>
      </c>
      <c r="B38" s="8">
        <v>219.98</v>
      </c>
      <c r="C38" s="8">
        <v>12.25</v>
      </c>
      <c r="D38" s="8">
        <v>232.23</v>
      </c>
    </row>
    <row r="39" spans="1:4" x14ac:dyDescent="0.3">
      <c r="A39" s="11" t="s">
        <v>34</v>
      </c>
      <c r="B39" s="8">
        <v>526.53</v>
      </c>
      <c r="C39" s="8">
        <v>122</v>
      </c>
      <c r="D39" s="8">
        <v>648.53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9"/>
  <sheetViews>
    <sheetView topLeftCell="A7" workbookViewId="0">
      <selection activeCell="D2" sqref="D2"/>
    </sheetView>
  </sheetViews>
  <sheetFormatPr defaultRowHeight="14.4" x14ac:dyDescent="0.3"/>
  <cols>
    <col min="1" max="2" width="15.6640625" customWidth="1"/>
    <col min="3" max="3" width="17.6640625" customWidth="1"/>
    <col min="4" max="8" width="15.6640625" customWidth="1"/>
  </cols>
  <sheetData>
    <row r="1" spans="1:6" x14ac:dyDescent="0.3">
      <c r="A1" s="1" t="s">
        <v>26</v>
      </c>
      <c r="B1" s="1" t="s">
        <v>27</v>
      </c>
      <c r="C1" s="1" t="s">
        <v>28</v>
      </c>
      <c r="D1" s="1" t="s">
        <v>21</v>
      </c>
      <c r="E1" s="1" t="s">
        <v>29</v>
      </c>
      <c r="F1" s="1" t="s">
        <v>30</v>
      </c>
    </row>
    <row r="2" spans="1:6" x14ac:dyDescent="0.3">
      <c r="A2">
        <v>10029367401</v>
      </c>
      <c r="B2">
        <v>106</v>
      </c>
      <c r="C2" s="8" t="s">
        <v>23</v>
      </c>
      <c r="D2" s="4">
        <f>VLOOKUP(B2,'Product List'!$A$2:$C$18,3,FALSE)</f>
        <v>3.99</v>
      </c>
      <c r="E2" s="4">
        <f>VLOOKUP(C2,'Product List'!$E$2:$F$5,2,FALSE)</f>
        <v>2.75</v>
      </c>
      <c r="F2" s="9">
        <f>D2+E2</f>
        <v>6.74</v>
      </c>
    </row>
    <row r="3" spans="1:6" x14ac:dyDescent="0.3">
      <c r="A3" s="7">
        <v>10029367403</v>
      </c>
      <c r="B3">
        <v>106</v>
      </c>
      <c r="C3" s="8" t="s">
        <v>24</v>
      </c>
      <c r="D3" s="4">
        <f>VLOOKUP(B3,'Product List'!$A$2:$C$18,3,FALSE)</f>
        <v>3.99</v>
      </c>
      <c r="E3" s="4">
        <f>VLOOKUP(C3,'Product List'!$E$2:$F$5,2,FALSE)</f>
        <v>5</v>
      </c>
      <c r="F3" s="9">
        <f>D3+E3</f>
        <v>8.99</v>
      </c>
    </row>
    <row r="4" spans="1:6" x14ac:dyDescent="0.3">
      <c r="A4" s="7">
        <v>10029367403</v>
      </c>
      <c r="B4">
        <v>106</v>
      </c>
      <c r="C4" s="8" t="s">
        <v>24</v>
      </c>
      <c r="D4" s="4">
        <f>VLOOKUP(B4,'Product List'!$A$2:$C$18,3,FALSE)</f>
        <v>3.99</v>
      </c>
      <c r="E4" s="4">
        <f>VLOOKUP(C4,'Product List'!$E$2:$F$5,2,FALSE)</f>
        <v>5</v>
      </c>
      <c r="F4" s="9">
        <f>D4+E4</f>
        <v>8.99</v>
      </c>
    </row>
    <row r="5" spans="1:6" x14ac:dyDescent="0.3">
      <c r="A5" s="7">
        <v>10029367404</v>
      </c>
      <c r="B5">
        <v>106</v>
      </c>
      <c r="C5" s="8" t="s">
        <v>23</v>
      </c>
      <c r="D5" s="4">
        <f>VLOOKUP(B5,'Product List'!$A$2:$C$18,3,FALSE)</f>
        <v>3.99</v>
      </c>
      <c r="E5" s="4">
        <f>VLOOKUP(C5,'Product List'!$E$2:$F$5,2,FALSE)</f>
        <v>2.75</v>
      </c>
      <c r="F5" s="9">
        <f>D5+E5</f>
        <v>6.74</v>
      </c>
    </row>
    <row r="6" spans="1:6" x14ac:dyDescent="0.3">
      <c r="A6" s="7">
        <v>10029367405</v>
      </c>
      <c r="B6">
        <v>106</v>
      </c>
      <c r="C6" s="8" t="s">
        <v>24</v>
      </c>
      <c r="D6" s="4">
        <f>VLOOKUP(B6,'Product List'!$A$2:$C$18,3,FALSE)</f>
        <v>3.99</v>
      </c>
      <c r="E6" s="4">
        <f>VLOOKUP(C6,'Product List'!$E$2:$F$5,2,FALSE)</f>
        <v>5</v>
      </c>
      <c r="F6" s="9">
        <f>D6+E6</f>
        <v>8.99</v>
      </c>
    </row>
    <row r="7" spans="1:6" x14ac:dyDescent="0.3">
      <c r="A7" s="7">
        <v>10029367406</v>
      </c>
      <c r="B7">
        <v>102</v>
      </c>
      <c r="C7" s="8" t="s">
        <v>25</v>
      </c>
      <c r="D7" s="4">
        <f>VLOOKUP(B7,'Product List'!$A$2:$C$18,3,FALSE)</f>
        <v>3.99</v>
      </c>
      <c r="E7" s="4">
        <f>VLOOKUP(C7,'Product List'!$E$2:$F$5,2,FALSE)</f>
        <v>7.25</v>
      </c>
      <c r="F7" s="9">
        <f>D7+E7</f>
        <v>11.24</v>
      </c>
    </row>
    <row r="8" spans="1:6" x14ac:dyDescent="0.3">
      <c r="A8" s="7">
        <v>10029367406</v>
      </c>
      <c r="B8">
        <v>103</v>
      </c>
      <c r="C8" s="8" t="s">
        <v>23</v>
      </c>
      <c r="D8" s="4">
        <f>VLOOKUP(B8,'Product List'!$A$2:$C$18,3,FALSE)</f>
        <v>4.42</v>
      </c>
      <c r="E8" s="4">
        <f>VLOOKUP(C8,'Product List'!$E$2:$F$5,2,FALSE)</f>
        <v>2.75</v>
      </c>
      <c r="F8" s="9">
        <f>D8+E8</f>
        <v>7.17</v>
      </c>
    </row>
    <row r="9" spans="1:6" x14ac:dyDescent="0.3">
      <c r="A9" s="7">
        <v>10029367406</v>
      </c>
      <c r="B9">
        <v>103</v>
      </c>
      <c r="C9" s="8" t="s">
        <v>24</v>
      </c>
      <c r="D9" s="4">
        <f>VLOOKUP(B9,'Product List'!$A$2:$C$18,3,FALSE)</f>
        <v>4.42</v>
      </c>
      <c r="E9" s="4">
        <f>VLOOKUP(C9,'Product List'!$E$2:$F$5,2,FALSE)</f>
        <v>5</v>
      </c>
      <c r="F9" s="9">
        <f>D9+E9</f>
        <v>9.42</v>
      </c>
    </row>
    <row r="10" spans="1:6" x14ac:dyDescent="0.3">
      <c r="A10" s="7">
        <v>10029367403</v>
      </c>
      <c r="B10">
        <v>202</v>
      </c>
      <c r="C10" s="8" t="s">
        <v>24</v>
      </c>
      <c r="D10" s="4">
        <f>VLOOKUP(B10,'Product List'!$A$2:$C$18,3,FALSE)</f>
        <v>6.76</v>
      </c>
      <c r="E10" s="4">
        <f>VLOOKUP(C10,'Product List'!$E$2:$F$5,2,FALSE)</f>
        <v>5</v>
      </c>
      <c r="F10" s="9">
        <f>D10+E10</f>
        <v>11.76</v>
      </c>
    </row>
    <row r="11" spans="1:6" x14ac:dyDescent="0.3">
      <c r="A11" s="7">
        <v>10029367404</v>
      </c>
      <c r="B11">
        <v>202</v>
      </c>
      <c r="C11" s="8" t="s">
        <v>23</v>
      </c>
      <c r="D11" s="4">
        <f>VLOOKUP(B11,'Product List'!$A$2:$C$18,3,FALSE)</f>
        <v>6.76</v>
      </c>
      <c r="E11" s="4">
        <f>VLOOKUP(C11,'Product List'!$E$2:$F$5,2,FALSE)</f>
        <v>2.75</v>
      </c>
      <c r="F11" s="9">
        <f>D11+E11</f>
        <v>9.51</v>
      </c>
    </row>
    <row r="12" spans="1:6" x14ac:dyDescent="0.3">
      <c r="A12" s="7">
        <v>10029367402</v>
      </c>
      <c r="B12">
        <v>107</v>
      </c>
      <c r="C12" s="8" t="s">
        <v>23</v>
      </c>
      <c r="D12" s="4">
        <f>VLOOKUP(B12,'Product List'!$A$2:$C$18,3,FALSE)</f>
        <v>7.75</v>
      </c>
      <c r="E12" s="4">
        <f>VLOOKUP(C12,'Product List'!$E$2:$F$5,2,FALSE)</f>
        <v>2.75</v>
      </c>
      <c r="F12" s="9">
        <f>D12+E12</f>
        <v>10.5</v>
      </c>
    </row>
    <row r="13" spans="1:6" x14ac:dyDescent="0.3">
      <c r="A13" s="7">
        <v>10029367402</v>
      </c>
      <c r="B13">
        <v>108</v>
      </c>
      <c r="C13" s="8" t="s">
        <v>25</v>
      </c>
      <c r="D13" s="4">
        <f>VLOOKUP(B13,'Product List'!$A$2:$C$18,3,FALSE)</f>
        <v>7.95</v>
      </c>
      <c r="E13" s="4">
        <f>VLOOKUP(C13,'Product List'!$E$2:$F$5,2,FALSE)</f>
        <v>7.25</v>
      </c>
      <c r="F13" s="9">
        <f>D13+E13</f>
        <v>15.2</v>
      </c>
    </row>
    <row r="14" spans="1:6" x14ac:dyDescent="0.3">
      <c r="A14" s="7">
        <v>10029367406</v>
      </c>
      <c r="B14">
        <v>109</v>
      </c>
      <c r="C14" s="8" t="s">
        <v>25</v>
      </c>
      <c r="D14" s="4">
        <f>VLOOKUP(B14,'Product List'!$A$2:$C$18,3,FALSE)</f>
        <v>9.99</v>
      </c>
      <c r="E14" s="4">
        <f>VLOOKUP(C14,'Product List'!$E$2:$F$5,2,FALSE)</f>
        <v>7.25</v>
      </c>
      <c r="F14" s="9">
        <f>D14+E14</f>
        <v>17.240000000000002</v>
      </c>
    </row>
    <row r="15" spans="1:6" x14ac:dyDescent="0.3">
      <c r="A15">
        <v>10029367401</v>
      </c>
      <c r="B15">
        <v>105</v>
      </c>
      <c r="C15" s="8" t="s">
        <v>22</v>
      </c>
      <c r="D15" s="4">
        <f>VLOOKUP(B15,'Product List'!$A$2:$C$18,3,FALSE)</f>
        <v>10.95</v>
      </c>
      <c r="E15" s="4">
        <f>VLOOKUP(C15,'Product List'!$E$2:$F$5,2,FALSE)</f>
        <v>0.5</v>
      </c>
      <c r="F15" s="9">
        <f>D15+E15</f>
        <v>11.45</v>
      </c>
    </row>
    <row r="16" spans="1:6" x14ac:dyDescent="0.3">
      <c r="A16">
        <v>10029367401</v>
      </c>
      <c r="B16">
        <v>105</v>
      </c>
      <c r="C16" s="8" t="s">
        <v>25</v>
      </c>
      <c r="D16" s="4">
        <f>VLOOKUP(B16,'Product List'!$A$2:$C$18,3,FALSE)</f>
        <v>10.95</v>
      </c>
      <c r="E16" s="4">
        <f>VLOOKUP(C16,'Product List'!$E$2:$F$5,2,FALSE)</f>
        <v>7.25</v>
      </c>
      <c r="F16" s="9">
        <f>D16+E16</f>
        <v>18.2</v>
      </c>
    </row>
    <row r="17" spans="1:6" x14ac:dyDescent="0.3">
      <c r="A17" s="7">
        <v>10029367403</v>
      </c>
      <c r="B17">
        <v>105</v>
      </c>
      <c r="C17" s="8" t="s">
        <v>25</v>
      </c>
      <c r="D17" s="4">
        <f>VLOOKUP(B17,'Product List'!$A$2:$C$18,3,FALSE)</f>
        <v>10.95</v>
      </c>
      <c r="E17" s="4">
        <f>VLOOKUP(C17,'Product List'!$E$2:$F$5,2,FALSE)</f>
        <v>7.25</v>
      </c>
      <c r="F17" s="9">
        <f>D17+E17</f>
        <v>18.2</v>
      </c>
    </row>
    <row r="18" spans="1:6" x14ac:dyDescent="0.3">
      <c r="A18" s="7">
        <v>10029367404</v>
      </c>
      <c r="B18">
        <v>105</v>
      </c>
      <c r="C18" s="8" t="s">
        <v>24</v>
      </c>
      <c r="D18" s="4">
        <f>VLOOKUP(B18,'Product List'!$A$2:$C$18,3,FALSE)</f>
        <v>10.95</v>
      </c>
      <c r="E18" s="4">
        <f>VLOOKUP(C18,'Product List'!$E$2:$F$5,2,FALSE)</f>
        <v>5</v>
      </c>
      <c r="F18" s="9">
        <f>D18+E18</f>
        <v>15.95</v>
      </c>
    </row>
    <row r="19" spans="1:6" x14ac:dyDescent="0.3">
      <c r="A19" s="7">
        <v>10029367403</v>
      </c>
      <c r="B19">
        <v>101</v>
      </c>
      <c r="C19" s="8" t="s">
        <v>25</v>
      </c>
      <c r="D19" s="4">
        <f>VLOOKUP(B19,'Product List'!$A$2:$C$18,3,FALSE)</f>
        <v>14.96</v>
      </c>
      <c r="E19" s="4">
        <f>VLOOKUP(C19,'Product List'!$E$2:$F$5,2,FALSE)</f>
        <v>7.25</v>
      </c>
      <c r="F19" s="9">
        <f>D19+E19</f>
        <v>22.21</v>
      </c>
    </row>
    <row r="20" spans="1:6" x14ac:dyDescent="0.3">
      <c r="A20" s="7">
        <v>10029367401</v>
      </c>
      <c r="B20">
        <v>200</v>
      </c>
      <c r="C20" s="8" t="s">
        <v>24</v>
      </c>
      <c r="D20" s="4">
        <f>VLOOKUP(B20,'Product List'!$A$2:$C$18,3,FALSE)</f>
        <v>15.99</v>
      </c>
      <c r="E20" s="4">
        <f>VLOOKUP(C20,'Product List'!$E$2:$F$5,2,FALSE)</f>
        <v>5</v>
      </c>
      <c r="F20" s="9">
        <f>D20+E20</f>
        <v>20.990000000000002</v>
      </c>
    </row>
    <row r="21" spans="1:6" x14ac:dyDescent="0.3">
      <c r="A21" s="7">
        <v>10029367404</v>
      </c>
      <c r="B21">
        <v>200</v>
      </c>
      <c r="C21" s="8" t="s">
        <v>24</v>
      </c>
      <c r="D21" s="4">
        <f>VLOOKUP(B21,'Product List'!$A$2:$C$18,3,FALSE)</f>
        <v>15.99</v>
      </c>
      <c r="E21" s="4">
        <f>VLOOKUP(C21,'Product List'!$E$2:$F$5,2,FALSE)</f>
        <v>5</v>
      </c>
      <c r="F21" s="9">
        <f>D21+E21</f>
        <v>20.990000000000002</v>
      </c>
    </row>
    <row r="22" spans="1:6" x14ac:dyDescent="0.3">
      <c r="A22" s="7">
        <v>10029367402</v>
      </c>
      <c r="B22">
        <v>100</v>
      </c>
      <c r="C22" s="8" t="s">
        <v>24</v>
      </c>
      <c r="D22" s="4">
        <f>VLOOKUP(B22,'Product List'!$A$2:$C$18,3,FALSE)</f>
        <v>19.96</v>
      </c>
      <c r="E22" s="4">
        <f>VLOOKUP(C22,'Product List'!$E$2:$F$5,2,FALSE)</f>
        <v>5</v>
      </c>
      <c r="F22" s="9">
        <f>D22+E22</f>
        <v>24.96</v>
      </c>
    </row>
    <row r="23" spans="1:6" x14ac:dyDescent="0.3">
      <c r="A23" s="7">
        <v>10029367403</v>
      </c>
      <c r="B23">
        <v>100</v>
      </c>
      <c r="C23" s="8" t="s">
        <v>23</v>
      </c>
      <c r="D23" s="4">
        <f>VLOOKUP(B23,'Product List'!$A$2:$C$18,3,FALSE)</f>
        <v>19.96</v>
      </c>
      <c r="E23" s="4">
        <f>VLOOKUP(C23,'Product List'!$E$2:$F$5,2,FALSE)</f>
        <v>2.75</v>
      </c>
      <c r="F23" s="9">
        <f>D23+E23</f>
        <v>22.71</v>
      </c>
    </row>
    <row r="24" spans="1:6" x14ac:dyDescent="0.3">
      <c r="A24" s="7">
        <v>10029367406</v>
      </c>
      <c r="B24">
        <v>100</v>
      </c>
      <c r="C24" s="8" t="s">
        <v>23</v>
      </c>
      <c r="D24" s="4">
        <f>VLOOKUP(B24,'Product List'!$A$2:$C$18,3,FALSE)</f>
        <v>19.96</v>
      </c>
      <c r="E24" s="4">
        <f>VLOOKUP(C24,'Product List'!$E$2:$F$5,2,FALSE)</f>
        <v>2.75</v>
      </c>
      <c r="F24" s="9">
        <f>D24+E24</f>
        <v>22.71</v>
      </c>
    </row>
    <row r="25" spans="1:6" x14ac:dyDescent="0.3">
      <c r="A25" s="7">
        <v>10029367406</v>
      </c>
      <c r="B25">
        <v>100</v>
      </c>
      <c r="C25" s="8" t="s">
        <v>22</v>
      </c>
      <c r="D25" s="4">
        <f>VLOOKUP(B25,'Product List'!$A$2:$C$18,3,FALSE)</f>
        <v>19.96</v>
      </c>
      <c r="E25" s="4">
        <f>VLOOKUP(C25,'Product List'!$E$2:$F$5,2,FALSE)</f>
        <v>0.5</v>
      </c>
      <c r="F25" s="9">
        <f>D25+E25</f>
        <v>20.46</v>
      </c>
    </row>
    <row r="26" spans="1:6" x14ac:dyDescent="0.3">
      <c r="A26" s="7">
        <v>10029367403</v>
      </c>
      <c r="B26">
        <v>201</v>
      </c>
      <c r="C26" s="8" t="s">
        <v>22</v>
      </c>
      <c r="D26" s="4">
        <f>VLOOKUP(B26,'Product List'!$A$2:$C$18,3,FALSE)</f>
        <v>31.99</v>
      </c>
      <c r="E26" s="4">
        <f>VLOOKUP(C26,'Product List'!$E$2:$F$5,2,FALSE)</f>
        <v>0.5</v>
      </c>
      <c r="F26" s="9">
        <f>D26+E26</f>
        <v>32.489999999999995</v>
      </c>
    </row>
    <row r="27" spans="1:6" x14ac:dyDescent="0.3">
      <c r="A27" s="7">
        <v>10029367403</v>
      </c>
      <c r="B27">
        <v>201</v>
      </c>
      <c r="C27" s="8" t="s">
        <v>22</v>
      </c>
      <c r="D27" s="4">
        <f>VLOOKUP(B27,'Product List'!$A$2:$C$18,3,FALSE)</f>
        <v>31.99</v>
      </c>
      <c r="E27" s="4">
        <f>VLOOKUP(C27,'Product List'!$E$2:$F$5,2,FALSE)</f>
        <v>0.5</v>
      </c>
      <c r="F27" s="9">
        <f>D27+E27</f>
        <v>32.489999999999995</v>
      </c>
    </row>
    <row r="28" spans="1:6" x14ac:dyDescent="0.3">
      <c r="A28" s="7">
        <v>10029367406</v>
      </c>
      <c r="B28">
        <v>206</v>
      </c>
      <c r="C28" s="8" t="s">
        <v>24</v>
      </c>
      <c r="D28" s="4">
        <f>VLOOKUP(B28,'Product List'!$A$2:$C$18,3,FALSE)</f>
        <v>109.99</v>
      </c>
      <c r="E28" s="4">
        <f>VLOOKUP(C28,'Product List'!$E$2:$F$5,2,FALSE)</f>
        <v>5</v>
      </c>
      <c r="F28" s="9">
        <f>D28+E28</f>
        <v>114.99</v>
      </c>
    </row>
    <row r="29" spans="1:6" x14ac:dyDescent="0.3">
      <c r="A29" s="7">
        <v>10029367406</v>
      </c>
      <c r="B29">
        <v>206</v>
      </c>
      <c r="C29" s="8" t="s">
        <v>25</v>
      </c>
      <c r="D29" s="4">
        <f>VLOOKUP(B29,'Product List'!$A$2:$C$18,3,FALSE)</f>
        <v>109.99</v>
      </c>
      <c r="E29" s="4">
        <f>VLOOKUP(C29,'Product List'!$E$2:$F$5,2,FALSE)</f>
        <v>7.25</v>
      </c>
      <c r="F29" s="9">
        <f>D29+E29</f>
        <v>117.24</v>
      </c>
    </row>
  </sheetData>
  <sortState xmlns:xlrd2="http://schemas.microsoft.com/office/spreadsheetml/2017/richdata2" ref="A2:F29">
    <sortCondition ref="D2:D2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List</vt:lpstr>
      <vt:lpstr>Pivot Table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Jacob's Gaming Rig</dc:creator>
  <cp:lastModifiedBy>TrongQuyen Nguyen</cp:lastModifiedBy>
  <dcterms:created xsi:type="dcterms:W3CDTF">2017-06-08T18:33:19Z</dcterms:created>
  <dcterms:modified xsi:type="dcterms:W3CDTF">2021-03-28T10:11:22Z</dcterms:modified>
</cp:coreProperties>
</file>